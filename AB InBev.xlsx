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https://hrnl-my.sharepoint.com/personal/1106255_hr_nl/Documents/Microsoft Teams Chat Files/"/>
    </mc:Choice>
  </mc:AlternateContent>
  <xr:revisionPtr revIDLastSave="0" documentId="8_{A6E8FD3D-3ACA-4ADA-B145-CCB314067CF4}" xr6:coauthVersionLast="47" xr6:coauthVersionMax="47" xr10:uidLastSave="{00000000-0000-0000-0000-000000000000}"/>
  <bookViews>
    <workbookView xWindow="14800" yWindow="940" windowWidth="14440" windowHeight="18040" firstSheet="1" activeTab="1" xr2:uid="{00000000-000D-0000-FFFF-FFFF00000000}"/>
  </bookViews>
  <sheets>
    <sheet name="Ratio computations" sheetId="2" r:id="rId1"/>
    <sheet name="Student &amp; Company Detail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D26" i="2"/>
  <c r="B33" i="2"/>
  <c r="C32" i="2"/>
  <c r="B32" i="2"/>
  <c r="B31" i="2"/>
  <c r="H25" i="2"/>
  <c r="H26" i="2"/>
  <c r="G25" i="2"/>
  <c r="B29" i="2"/>
  <c r="C33" i="2"/>
  <c r="B36" i="2"/>
  <c r="D33" i="2"/>
  <c r="G33" i="2"/>
  <c r="H33" i="2"/>
  <c r="I33" i="2"/>
  <c r="I32" i="2"/>
  <c r="H32" i="2"/>
  <c r="G32" i="2"/>
  <c r="D32" i="2"/>
  <c r="C31" i="2"/>
  <c r="C34" i="2"/>
  <c r="D31" i="2"/>
  <c r="D34" i="2"/>
  <c r="G31" i="2"/>
  <c r="G34" i="2"/>
  <c r="H31" i="2"/>
  <c r="H34" i="2"/>
  <c r="I31" i="2"/>
  <c r="I34" i="2"/>
  <c r="C36" i="2"/>
  <c r="D36" i="2"/>
  <c r="C29" i="2"/>
  <c r="D29" i="2"/>
  <c r="C28" i="2"/>
  <c r="D28" i="2"/>
  <c r="C26" i="2"/>
  <c r="C25" i="2"/>
  <c r="D25" i="2"/>
  <c r="H36" i="2"/>
  <c r="I36" i="2"/>
  <c r="H29" i="2"/>
  <c r="I29" i="2"/>
  <c r="H28" i="2"/>
  <c r="I28" i="2"/>
  <c r="I26" i="2"/>
  <c r="I25" i="2"/>
  <c r="B25" i="2"/>
  <c r="G36" i="2"/>
  <c r="G28" i="2"/>
  <c r="G29" i="2"/>
  <c r="B28" i="2"/>
  <c r="G26" i="2"/>
  <c r="B26" i="2"/>
</calcChain>
</file>

<file path=xl/sharedStrings.xml><?xml version="1.0" encoding="utf-8"?>
<sst xmlns="http://schemas.openxmlformats.org/spreadsheetml/2006/main" count="63" uniqueCount="61">
  <si>
    <t>AB inBev's  actual figures or numbers</t>
  </si>
  <si>
    <t>Heineken's , direct competitor , actual figures and numbers</t>
  </si>
  <si>
    <t>Financial Statements Items</t>
  </si>
  <si>
    <t>Millions of $</t>
  </si>
  <si>
    <t>2021(For Average Calc)</t>
  </si>
  <si>
    <t>Income Statement Selected items</t>
  </si>
  <si>
    <t xml:space="preserve">Total Revenue </t>
  </si>
  <si>
    <t>Cost of Sales</t>
  </si>
  <si>
    <t>Gross Profit</t>
  </si>
  <si>
    <t xml:space="preserve">Operating Expenses </t>
  </si>
  <si>
    <t>Interest expenses/Finance Cost</t>
  </si>
  <si>
    <t>Net Income</t>
  </si>
  <si>
    <t>Operating income</t>
  </si>
  <si>
    <t>Balance sheet Selected Items</t>
  </si>
  <si>
    <t xml:space="preserve">Total Current Assets </t>
  </si>
  <si>
    <t>Total Current Liabilities</t>
  </si>
  <si>
    <t xml:space="preserve">Total Non-Current Assets </t>
  </si>
  <si>
    <t>Total-Non Current Liabilities</t>
  </si>
  <si>
    <t>Inventory</t>
  </si>
  <si>
    <t>Cash</t>
  </si>
  <si>
    <t xml:space="preserve">Trade Payables </t>
  </si>
  <si>
    <t xml:space="preserve">Trade Receivables </t>
  </si>
  <si>
    <t>Shareholders equity</t>
  </si>
  <si>
    <t>Profitability ratios:</t>
  </si>
  <si>
    <t>Return on equity</t>
  </si>
  <si>
    <t>Operating Profit Margin</t>
  </si>
  <si>
    <t>Liquidity ratios:</t>
  </si>
  <si>
    <t>Current Ratio</t>
  </si>
  <si>
    <t xml:space="preserve"> Quick Ratio</t>
  </si>
  <si>
    <t>Efficiency ratios:</t>
  </si>
  <si>
    <t>Inventory Turnover Period</t>
  </si>
  <si>
    <t>Receivables Collection Period</t>
  </si>
  <si>
    <t>Payables settlement Period</t>
  </si>
  <si>
    <t>Cash Conversion Cycle</t>
  </si>
  <si>
    <t>Leverage Ratios:</t>
  </si>
  <si>
    <t>Debt Ratio</t>
  </si>
  <si>
    <t>Block 3, year 1</t>
  </si>
  <si>
    <t>Module: Internal Environment IBPIEN123R1 (2024-2025)</t>
  </si>
  <si>
    <t>Excel file to supplement to the group report</t>
  </si>
  <si>
    <t>Company name:</t>
  </si>
  <si>
    <t>Anheuser-Busch InBev SA</t>
  </si>
  <si>
    <t>Competitor name:</t>
  </si>
  <si>
    <t>Heineken N.V</t>
  </si>
  <si>
    <t>Economic sector:</t>
  </si>
  <si>
    <t>Alcoholic Beverage</t>
  </si>
  <si>
    <t>Submitted by:</t>
  </si>
  <si>
    <t>Student number</t>
  </si>
  <si>
    <t>Student surname</t>
  </si>
  <si>
    <t>Student first name</t>
  </si>
  <si>
    <t>Group</t>
  </si>
  <si>
    <t>Diaconu</t>
  </si>
  <si>
    <t>David</t>
  </si>
  <si>
    <t>Phan</t>
  </si>
  <si>
    <t>Huy</t>
  </si>
  <si>
    <t>Upessy</t>
  </si>
  <si>
    <t>Joshua</t>
  </si>
  <si>
    <t>Geurtsen</t>
  </si>
  <si>
    <t>Max</t>
  </si>
  <si>
    <t>Wilson</t>
  </si>
  <si>
    <t>Sierd</t>
  </si>
  <si>
    <t>Date of submission: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</si>
</sst>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242424"/>
      <name val="Segoe UI"/>
      <charset val="1"/>
    </font>
    <font>
      <sz val="11"/>
      <color rgb="FF232A31"/>
      <name val="GT America"/>
      <charset val="1"/>
    </font>
  </fonts>
  <fills count="7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1" fillId="0" borderId="0" xfId="0" applyFont="1"/>
    <xf numFmtId="0" fontId="1" fillId="4" borderId="0" xfId="0" applyFont="1" applyFill="1"/>
    <xf numFmtId="0" fontId="1" fillId="5" borderId="2" xfId="0" applyFont="1" applyFill="1" applyBorder="1"/>
    <xf numFmtId="0" fontId="0" fillId="6" borderId="0" xfId="0" applyFill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5" fillId="0" borderId="7" xfId="0" applyFont="1" applyBorder="1"/>
    <xf numFmtId="0" fontId="5" fillId="0" borderId="8" xfId="0" applyFont="1" applyBorder="1"/>
    <xf numFmtId="0" fontId="7" fillId="0" borderId="0" xfId="0" applyFont="1"/>
    <xf numFmtId="0" fontId="0" fillId="0" borderId="9" xfId="0" applyBorder="1"/>
    <xf numFmtId="164" fontId="5" fillId="0" borderId="3" xfId="0" applyNumberFormat="1" applyFont="1" applyBorder="1"/>
    <xf numFmtId="0" fontId="0" fillId="0" borderId="11" xfId="0" applyBorder="1"/>
    <xf numFmtId="0" fontId="0" fillId="0" borderId="3" xfId="0" applyBorder="1" applyAlignment="1">
      <alignment horizontal="left"/>
    </xf>
    <xf numFmtId="3" fontId="0" fillId="0" borderId="3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5" borderId="0" xfId="0" applyFill="1"/>
    <xf numFmtId="0" fontId="2" fillId="0" borderId="13" xfId="0" applyFont="1" applyBorder="1"/>
    <xf numFmtId="0" fontId="2" fillId="0" borderId="2" xfId="0" applyFont="1" applyBorder="1"/>
    <xf numFmtId="0" fontId="6" fillId="0" borderId="11" xfId="0" applyFont="1" applyBorder="1"/>
    <xf numFmtId="0" fontId="6" fillId="0" borderId="14" xfId="0" applyFont="1" applyBorder="1"/>
    <xf numFmtId="0" fontId="2" fillId="5" borderId="0" xfId="0" applyFont="1" applyFill="1" applyAlignment="1">
      <alignment wrapText="1"/>
    </xf>
    <xf numFmtId="0" fontId="1" fillId="0" borderId="11" xfId="0" applyFont="1" applyBorder="1"/>
    <xf numFmtId="0" fontId="0" fillId="0" borderId="0" xfId="0" applyAlignment="1">
      <alignment horizontal="right"/>
    </xf>
    <xf numFmtId="0" fontId="0" fillId="0" borderId="15" xfId="0" applyBorder="1" applyAlignment="1">
      <alignment horizontal="left"/>
    </xf>
    <xf numFmtId="3" fontId="8" fillId="0" borderId="6" xfId="0" applyNumberFormat="1" applyFont="1" applyBorder="1" applyAlignment="1">
      <alignment horizontal="left"/>
    </xf>
    <xf numFmtId="10" fontId="0" fillId="0" borderId="0" xfId="0" applyNumberFormat="1"/>
    <xf numFmtId="0" fontId="0" fillId="0" borderId="5" xfId="0" applyBorder="1" applyAlignment="1">
      <alignment horizontal="left"/>
    </xf>
    <xf numFmtId="3" fontId="0" fillId="0" borderId="5" xfId="0" applyNumberFormat="1" applyBorder="1" applyAlignment="1">
      <alignment horizontal="left"/>
    </xf>
    <xf numFmtId="0" fontId="0" fillId="0" borderId="16" xfId="0" applyBorder="1"/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3" fontId="0" fillId="0" borderId="9" xfId="0" applyNumberFormat="1" applyBorder="1" applyAlignment="1">
      <alignment horizontal="left"/>
    </xf>
    <xf numFmtId="3" fontId="0" fillId="0" borderId="11" xfId="0" applyNumberFormat="1" applyBorder="1" applyAlignment="1">
      <alignment horizontal="left"/>
    </xf>
    <xf numFmtId="3" fontId="0" fillId="0" borderId="4" xfId="0" applyNumberFormat="1" applyBorder="1" applyAlignment="1">
      <alignment horizontal="left"/>
    </xf>
    <xf numFmtId="3" fontId="0" fillId="0" borderId="10" xfId="0" applyNumberFormat="1" applyBorder="1" applyAlignment="1">
      <alignment horizontal="left"/>
    </xf>
    <xf numFmtId="3" fontId="0" fillId="0" borderId="6" xfId="0" applyNumberFormat="1" applyBorder="1" applyAlignment="1">
      <alignment horizontal="left"/>
    </xf>
    <xf numFmtId="3" fontId="0" fillId="0" borderId="12" xfId="0" applyNumberFormat="1" applyBorder="1" applyAlignment="1">
      <alignment horizontal="left"/>
    </xf>
    <xf numFmtId="3" fontId="0" fillId="0" borderId="17" xfId="0" applyNumberFormat="1" applyBorder="1" applyAlignment="1">
      <alignment horizontal="left"/>
    </xf>
    <xf numFmtId="0" fontId="2" fillId="2" borderId="0" xfId="0" applyFont="1" applyFill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14" xfId="0" applyBorder="1"/>
    <xf numFmtId="3" fontId="0" fillId="0" borderId="0" xfId="0" applyNumberFormat="1"/>
    <xf numFmtId="0" fontId="2" fillId="0" borderId="3" xfId="0" applyFont="1" applyBorder="1"/>
    <xf numFmtId="0" fontId="2" fillId="0" borderId="18" xfId="0" applyFont="1" applyBorder="1"/>
    <xf numFmtId="0" fontId="2" fillId="3" borderId="0" xfId="0" applyFont="1" applyFill="1" applyAlignment="1">
      <alignment horizontal="left"/>
    </xf>
    <xf numFmtId="0" fontId="6" fillId="0" borderId="3" xfId="0" applyFont="1" applyBorder="1" applyAlignment="1">
      <alignment horizontal="left"/>
    </xf>
    <xf numFmtId="2" fontId="0" fillId="0" borderId="0" xfId="0" applyNumberFormat="1"/>
    <xf numFmtId="0" fontId="2" fillId="2" borderId="5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Ratios AB inBEV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{"2024"}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'Ratio computations'!$A$31:$A$34</c:f>
              <c:strCache>
                <c:ptCount val="4"/>
                <c:pt idx="0">
                  <c:v>Inventory Turnover Period</c:v>
                </c:pt>
                <c:pt idx="1">
                  <c:v>Receivables Collection Period</c:v>
                </c:pt>
                <c:pt idx="2">
                  <c:v>Payables settlement Period</c:v>
                </c:pt>
                <c:pt idx="3">
                  <c:v>Cash Conversion Cycle</c:v>
                </c:pt>
              </c:strCache>
            </c:strRef>
          </c:cat>
          <c:val>
            <c:numRef>
              <c:f>'Ratio computations'!$B$31:$B$34</c:f>
              <c:numCache>
                <c:formatCode>0.00</c:formatCode>
                <c:ptCount val="4"/>
                <c:pt idx="0">
                  <c:v>70.989661232425959</c:v>
                </c:pt>
                <c:pt idx="1">
                  <c:v>36.266103935216165</c:v>
                </c:pt>
                <c:pt idx="2">
                  <c:v>340.65210888423576</c:v>
                </c:pt>
                <c:pt idx="3">
                  <c:v>-233.39634371659363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B4-4776-A780-8BC4C5ED8DFD}"/>
            </c:ext>
          </c:extLst>
        </c:ser>
        <c:ser>
          <c:idx val="1"/>
          <c:order val="1"/>
          <c:tx>
            <c:strRef>
              <c:f>{"2023"}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'Ratio computations'!$A$31:$A$34</c:f>
              <c:strCache>
                <c:ptCount val="4"/>
                <c:pt idx="0">
                  <c:v>Inventory Turnover Period</c:v>
                </c:pt>
                <c:pt idx="1">
                  <c:v>Receivables Collection Period</c:v>
                </c:pt>
                <c:pt idx="2">
                  <c:v>Payables settlement Period</c:v>
                </c:pt>
                <c:pt idx="3">
                  <c:v>Cash Conversion Cycle</c:v>
                </c:pt>
              </c:strCache>
            </c:strRef>
          </c:cat>
          <c:val>
            <c:numRef>
              <c:f>'Ratio computations'!$C$31:$C$34</c:f>
              <c:numCache>
                <c:formatCode>0.00</c:formatCode>
                <c:ptCount val="4"/>
                <c:pt idx="0">
                  <c:v>80.438293911519935</c:v>
                </c:pt>
                <c:pt idx="1">
                  <c:v>37.206887841023914</c:v>
                </c:pt>
                <c:pt idx="2">
                  <c:v>344.80882245583297</c:v>
                </c:pt>
                <c:pt idx="3">
                  <c:v>-227.1636407032891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B4-4776-A780-8BC4C5ED8DFD}"/>
            </c:ext>
          </c:extLst>
        </c:ser>
        <c:ser>
          <c:idx val="2"/>
          <c:order val="2"/>
          <c:tx>
            <c:strRef>
              <c:f>{"2022"}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'Ratio computations'!$A$31:$A$34</c:f>
              <c:strCache>
                <c:ptCount val="4"/>
                <c:pt idx="0">
                  <c:v>Inventory Turnover Period</c:v>
                </c:pt>
                <c:pt idx="1">
                  <c:v>Receivables Collection Period</c:v>
                </c:pt>
                <c:pt idx="2">
                  <c:v>Payables settlement Period</c:v>
                </c:pt>
                <c:pt idx="3">
                  <c:v>Cash Conversion Cycle</c:v>
                </c:pt>
              </c:strCache>
            </c:strRef>
          </c:cat>
          <c:val>
            <c:numRef>
              <c:f>'Ratio computations'!$D$31:$D$34</c:f>
              <c:numCache>
                <c:formatCode>0.00</c:formatCode>
                <c:ptCount val="4"/>
                <c:pt idx="0">
                  <c:v>83.33045048469873</c:v>
                </c:pt>
                <c:pt idx="1">
                  <c:v>34.143347869726234</c:v>
                </c:pt>
                <c:pt idx="2">
                  <c:v>354.66261167078505</c:v>
                </c:pt>
                <c:pt idx="3">
                  <c:v>-237.1888133163601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B4-4776-A780-8BC4C5ED8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8362887"/>
        <c:axId val="534033928"/>
      </c:barChart>
      <c:catAx>
        <c:axId val="1898362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033928"/>
        <c:crosses val="autoZero"/>
        <c:auto val="1"/>
        <c:lblAlgn val="ctr"/>
        <c:lblOffset val="100"/>
        <c:noMultiLvlLbl val="0"/>
      </c:catAx>
      <c:valAx>
        <c:axId val="53403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362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366020877887958"/>
          <c:y val="0.89567078429794056"/>
          <c:w val="0.28126531058617671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Ratios AB inBEV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computations'!$A$25</c:f>
              <c:strCache>
                <c:ptCount val="1"/>
                <c:pt idx="0">
                  <c:v>Return 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'Ratio computations'!B3,'Ratio computations'!C3,'Ratio computations'!D3</c:f>
              <c:numCache>
                <c:formatCode>General</c:formatCode>
                <c:ptCount val="3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</c:numCache>
            </c:numRef>
          </c:cat>
          <c:val>
            <c:numRef>
              <c:f>'Ratio computations'!$B$25:$D$25</c:f>
              <c:numCache>
                <c:formatCode>0.00%</c:formatCode>
                <c:ptCount val="3"/>
                <c:pt idx="0">
                  <c:v>3.4581628509854141E-2</c:v>
                </c:pt>
                <c:pt idx="1">
                  <c:v>7.1924558442729603E-2</c:v>
                </c:pt>
                <c:pt idx="2">
                  <c:v>8.4030774212167494E-2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66-4E28-BB7D-63F42812767E}"/>
            </c:ext>
          </c:extLst>
        </c:ser>
        <c:ser>
          <c:idx val="1"/>
          <c:order val="1"/>
          <c:tx>
            <c:strRef>
              <c:f>'Ratio computations'!$A$26</c:f>
              <c:strCache>
                <c:ptCount val="1"/>
                <c:pt idx="0">
                  <c:v>Operating 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'Ratio computations'!B3,'Ratio computations'!C3,'Ratio computations'!D3</c:f>
              <c:numCache>
                <c:formatCode>General</c:formatCode>
                <c:ptCount val="3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</c:numCache>
            </c:numRef>
          </c:cat>
          <c:val>
            <c:numRef>
              <c:f>'Ratio computations'!$B$26:$D$26</c:f>
              <c:numCache>
                <c:formatCode>0.00%</c:formatCode>
                <c:ptCount val="3"/>
                <c:pt idx="0">
                  <c:v>0.25346339178155536</c:v>
                </c:pt>
                <c:pt idx="1">
                  <c:v>0.2401481980464803</c:v>
                </c:pt>
                <c:pt idx="2">
                  <c:v>0.25032014674834735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66-4E28-BB7D-63F428127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7847943"/>
        <c:axId val="1167849991"/>
      </c:barChart>
      <c:catAx>
        <c:axId val="1167847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849991"/>
        <c:crosses val="autoZero"/>
        <c:auto val="1"/>
        <c:lblAlgn val="ctr"/>
        <c:lblOffset val="100"/>
        <c:noMultiLvlLbl val="0"/>
      </c:catAx>
      <c:valAx>
        <c:axId val="1167849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847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Liquidity Ratios AB inBEV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computations'!$A$28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'Ratio computations'!B3,'Ratio computations'!C3,'Ratio computations'!D3</c:f>
              <c:numCache>
                <c:formatCode>General</c:formatCode>
                <c:ptCount val="3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</c:numCache>
            </c:numRef>
          </c:cat>
          <c:val>
            <c:numRef>
              <c:f>'Ratio computations'!$B$28:$D$28</c:f>
              <c:numCache>
                <c:formatCode>0.00%</c:formatCode>
                <c:ptCount val="3"/>
                <c:pt idx="0">
                  <c:v>0.69554829734470458</c:v>
                </c:pt>
                <c:pt idx="1">
                  <c:v>0.62888900850468299</c:v>
                </c:pt>
                <c:pt idx="2">
                  <c:v>0.67434487973707935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3-430F-8CFB-8200EE8A2F5D}"/>
            </c:ext>
          </c:extLst>
        </c:ser>
        <c:ser>
          <c:idx val="1"/>
          <c:order val="1"/>
          <c:tx>
            <c:strRef>
              <c:f>'Ratio computations'!$A$29</c:f>
              <c:strCache>
                <c:ptCount val="1"/>
                <c:pt idx="0">
                  <c:v> Quick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'Ratio computations'!B3,'Ratio computations'!C3,'Ratio computations'!D3</c:f>
              <c:numCache>
                <c:formatCode>General</c:formatCode>
                <c:ptCount val="3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</c:numCache>
            </c:numRef>
          </c:cat>
          <c:val>
            <c:numRef>
              <c:f>'Ratio computations'!$B$29:$D$29</c:f>
              <c:numCache>
                <c:formatCode>0.00%</c:formatCode>
                <c:ptCount val="3"/>
                <c:pt idx="0">
                  <c:v>0.54615012399443541</c:v>
                </c:pt>
                <c:pt idx="1">
                  <c:v>0.48186026482936806</c:v>
                </c:pt>
                <c:pt idx="2">
                  <c:v>0.48204054329174301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E3-430F-8CFB-8200EE8A2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302408"/>
        <c:axId val="1011304456"/>
      </c:barChart>
      <c:catAx>
        <c:axId val="101130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304456"/>
        <c:crosses val="autoZero"/>
        <c:auto val="1"/>
        <c:lblAlgn val="ctr"/>
        <c:lblOffset val="100"/>
        <c:noMultiLvlLbl val="0"/>
      </c:catAx>
      <c:valAx>
        <c:axId val="101130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302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Leverage Ratios ABinBEV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'Ratio computations'!$A$36</c:f>
              <c:strCache>
                <c:ptCount val="1"/>
                <c:pt idx="0">
                  <c:v>Debt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'Ratio computations'!B3,'Ratio computations'!C3,'Ratio computations'!D3</c:f>
              <c:numCache>
                <c:formatCode>General</c:formatCode>
                <c:ptCount val="3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</c:numCache>
            </c:numRef>
          </c:cat>
          <c:val>
            <c:numRef>
              <c:f>'Ratio computations'!$B$36:$D$36</c:f>
              <c:numCache>
                <c:formatCode>0.00%</c:formatCode>
                <c:ptCount val="3"/>
                <c:pt idx="0">
                  <c:v>0.5707475948043903</c:v>
                </c:pt>
                <c:pt idx="1">
                  <c:v>0.57747788821008483</c:v>
                </c:pt>
                <c:pt idx="2">
                  <c:v>0.60422272626947116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5-47E5-8008-E3892400D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482312"/>
        <c:axId val="976484360"/>
      </c:lineChart>
      <c:catAx>
        <c:axId val="976482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84360"/>
        <c:crosses val="autoZero"/>
        <c:auto val="1"/>
        <c:lblAlgn val="ctr"/>
        <c:lblOffset val="100"/>
        <c:noMultiLvlLbl val="0"/>
      </c:catAx>
      <c:valAx>
        <c:axId val="976484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82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Ratios Heineken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Return on equity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'Ratio computations'!G3,'Ratio computations'!H3,'Ratio computations'!I3</c:f>
              <c:numCache>
                <c:formatCode>General</c:formatCode>
                <c:ptCount val="3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</c:numCache>
            </c:numRef>
          </c:cat>
          <c:val>
            <c:numRef>
              <c:f>'Ratio computations'!$G$25:$I$25</c:f>
              <c:numCache>
                <c:formatCode>0.00%</c:formatCode>
                <c:ptCount val="3"/>
                <c:pt idx="0">
                  <c:v>4.9347831571511465E-2</c:v>
                </c:pt>
                <c:pt idx="1">
                  <c:v>0.11634307066932613</c:v>
                </c:pt>
                <c:pt idx="2">
                  <c:v>0.1453382827105969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B1-424A-B309-E64ABB0A09CB}"/>
            </c:ext>
          </c:extLst>
        </c:ser>
        <c:ser>
          <c:idx val="1"/>
          <c:order val="1"/>
          <c:tx>
            <c:v>Operating Profit Margin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'Ratio computations'!G3,'Ratio computations'!H3,'Ratio computations'!I3</c:f>
              <c:numCache>
                <c:formatCode>General</c:formatCode>
                <c:ptCount val="3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</c:numCache>
            </c:numRef>
          </c:cat>
          <c:val>
            <c:numRef>
              <c:f>'Ratio computations'!$G$26:$I$26</c:f>
              <c:numCache>
                <c:formatCode>0.00%</c:formatCode>
                <c:ptCount val="3"/>
                <c:pt idx="0">
                  <c:v>0.11525435096073237</c:v>
                </c:pt>
                <c:pt idx="1">
                  <c:v>9.3406231473552467E-2</c:v>
                </c:pt>
                <c:pt idx="2">
                  <c:v>0.14725443086458442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B1-424A-B309-E64ABB0A0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691720"/>
        <c:axId val="1000714248"/>
      </c:barChart>
      <c:catAx>
        <c:axId val="100069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714248"/>
        <c:crosses val="autoZero"/>
        <c:auto val="1"/>
        <c:lblAlgn val="ctr"/>
        <c:lblOffset val="100"/>
        <c:noMultiLvlLbl val="0"/>
      </c:catAx>
      <c:valAx>
        <c:axId val="100071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9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Liquidity Ratios Heineken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Current Ratio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'Ratio computations'!G3,'Ratio computations'!H3,'Ratio computations'!I3</c:f>
              <c:numCache>
                <c:formatCode>General</c:formatCode>
                <c:ptCount val="3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</c:numCache>
            </c:numRef>
          </c:cat>
          <c:val>
            <c:numRef>
              <c:f>'Ratio computations'!$G$28:$I$28</c:f>
              <c:numCache>
                <c:formatCode>0.00%</c:formatCode>
                <c:ptCount val="3"/>
                <c:pt idx="0">
                  <c:v>0.76548672566371678</c:v>
                </c:pt>
                <c:pt idx="1">
                  <c:v>0.76890387858347387</c:v>
                </c:pt>
                <c:pt idx="2">
                  <c:v>0.77625088090204364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7-4222-93C2-A3132CC7BD53}"/>
            </c:ext>
          </c:extLst>
        </c:ser>
        <c:ser>
          <c:idx val="1"/>
          <c:order val="1"/>
          <c:tx>
            <c:v> Quick Ratio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'Ratio computations'!G3,'Ratio computations'!H3,'Ratio computations'!I3</c:f>
              <c:numCache>
                <c:formatCode>General</c:formatCode>
                <c:ptCount val="3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</c:numCache>
            </c:numRef>
          </c:cat>
          <c:val>
            <c:numRef>
              <c:f>'Ratio computations'!$G$29:$I$29</c:f>
              <c:numCache>
                <c:formatCode>0.00%</c:formatCode>
                <c:ptCount val="3"/>
                <c:pt idx="0">
                  <c:v>0.51460879336985532</c:v>
                </c:pt>
                <c:pt idx="1">
                  <c:v>0.51790893760539625</c:v>
                </c:pt>
                <c:pt idx="2">
                  <c:v>0.54721634954193099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C7-4222-93C2-A3132CC7B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7844359"/>
        <c:axId val="1167846407"/>
      </c:barChart>
      <c:catAx>
        <c:axId val="1167844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846407"/>
        <c:crosses val="autoZero"/>
        <c:auto val="1"/>
        <c:lblAlgn val="ctr"/>
        <c:lblOffset val="100"/>
        <c:noMultiLvlLbl val="0"/>
      </c:catAx>
      <c:valAx>
        <c:axId val="1167846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844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Ratios Heineken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'Ratio computations'!A31,'Ratio computations'!A32,'Ratio computations'!A33,'Ratio computations'!A34</c:f>
              <c:strCache>
                <c:ptCount val="4"/>
                <c:pt idx="0">
                  <c:v>Inventory Turnover Period</c:v>
                </c:pt>
                <c:pt idx="1">
                  <c:v>Receivables Collection Period</c:v>
                </c:pt>
                <c:pt idx="2">
                  <c:v>Payables settlement Period</c:v>
                </c:pt>
                <c:pt idx="3">
                  <c:v>Cash Conversion Cycle</c:v>
                </c:pt>
              </c:strCache>
            </c:strRef>
          </c:cat>
          <c:val>
            <c:numRef>
              <c:f>'Ratio computations'!$G$31:$G$34</c:f>
              <c:numCache>
                <c:formatCode>0.00</c:formatCode>
                <c:ptCount val="4"/>
                <c:pt idx="0">
                  <c:v>68.915885672862842</c:v>
                </c:pt>
                <c:pt idx="1">
                  <c:v>58.793383857013509</c:v>
                </c:pt>
                <c:pt idx="2">
                  <c:v>182.792937399679</c:v>
                </c:pt>
                <c:pt idx="3">
                  <c:v>-55.083667869802653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0-496D-B2B8-5819D7F3A587}"/>
            </c:ext>
          </c:extLst>
        </c:ser>
        <c:ser>
          <c:idx val="1"/>
          <c:order val="1"/>
          <c:tx>
            <c:v>2023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'Ratio computations'!A31,'Ratio computations'!A32,'Ratio computations'!A33,'Ratio computations'!A34</c:f>
              <c:strCache>
                <c:ptCount val="4"/>
                <c:pt idx="0">
                  <c:v>Inventory Turnover Period</c:v>
                </c:pt>
                <c:pt idx="1">
                  <c:v>Receivables Collection Period</c:v>
                </c:pt>
                <c:pt idx="2">
                  <c:v>Payables settlement Period</c:v>
                </c:pt>
                <c:pt idx="3">
                  <c:v>Cash Conversion Cycle</c:v>
                </c:pt>
              </c:strCache>
            </c:strRef>
          </c:cat>
          <c:val>
            <c:numRef>
              <c:f>'Ratio computations'!$H$31:$H$34</c:f>
              <c:numCache>
                <c:formatCode>0.00</c:formatCode>
                <c:ptCount val="4"/>
                <c:pt idx="0">
                  <c:v>63.588119158294603</c:v>
                </c:pt>
                <c:pt idx="1">
                  <c:v>57.403168434226991</c:v>
                </c:pt>
                <c:pt idx="2">
                  <c:v>170.71462488129154</c:v>
                </c:pt>
                <c:pt idx="3">
                  <c:v>-49.723337288769955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80-496D-B2B8-5819D7F3A587}"/>
            </c:ext>
          </c:extLst>
        </c:ser>
        <c:ser>
          <c:idx val="2"/>
          <c:order val="2"/>
          <c:tx>
            <c:v>2022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'Ratio computations'!A31,'Ratio computations'!A32,'Ratio computations'!A33,'Ratio computations'!A34</c:f>
              <c:strCache>
                <c:ptCount val="4"/>
                <c:pt idx="0">
                  <c:v>Inventory Turnover Period</c:v>
                </c:pt>
                <c:pt idx="1">
                  <c:v>Receivables Collection Period</c:v>
                </c:pt>
                <c:pt idx="2">
                  <c:v>Payables settlement Period</c:v>
                </c:pt>
                <c:pt idx="3">
                  <c:v>Cash Conversion Cycle</c:v>
                </c:pt>
              </c:strCache>
            </c:strRef>
          </c:cat>
          <c:val>
            <c:numRef>
              <c:f>'Ratio computations'!$I$31:$I$34</c:f>
              <c:numCache>
                <c:formatCode>0.00</c:formatCode>
                <c:ptCount val="4"/>
                <c:pt idx="0">
                  <c:v>55.755720270705766</c:v>
                </c:pt>
                <c:pt idx="1">
                  <c:v>52.063877572338868</c:v>
                </c:pt>
                <c:pt idx="2">
                  <c:v>166.96328821570523</c:v>
                </c:pt>
                <c:pt idx="3">
                  <c:v>-59.1436903726606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80-496D-B2B8-5819D7F3A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0353928"/>
        <c:axId val="1790356488"/>
      </c:barChart>
      <c:catAx>
        <c:axId val="1790353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356488"/>
        <c:crosses val="autoZero"/>
        <c:auto val="1"/>
        <c:lblAlgn val="ctr"/>
        <c:lblOffset val="100"/>
        <c:noMultiLvlLbl val="0"/>
      </c:catAx>
      <c:valAx>
        <c:axId val="1790356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35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Leverage Ratios Heineken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Debt ratio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'Ratio computations'!G3,'Ratio computations'!H3,'Ratio computations'!I3</c:f>
              <c:numCache>
                <c:formatCode>General</c:formatCode>
                <c:ptCount val="3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</c:numCache>
            </c:numRef>
          </c:cat>
          <c:val>
            <c:numRef>
              <c:f>'Ratio computations'!$G$36:$I$36</c:f>
              <c:numCache>
                <c:formatCode>0.00%</c:formatCode>
                <c:ptCount val="3"/>
                <c:pt idx="0">
                  <c:v>0.58339687203615198</c:v>
                </c:pt>
                <c:pt idx="1">
                  <c:v>0.58680398165104342</c:v>
                </c:pt>
                <c:pt idx="2">
                  <c:v>0.5817272831355188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75-4BA1-A8EE-EFC85F123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0163208"/>
        <c:axId val="1763017736"/>
      </c:lineChart>
      <c:catAx>
        <c:axId val="101016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017736"/>
        <c:crosses val="autoZero"/>
        <c:auto val="1"/>
        <c:lblAlgn val="ctr"/>
        <c:lblOffset val="100"/>
        <c:noMultiLvlLbl val="0"/>
      </c:catAx>
      <c:valAx>
        <c:axId val="176301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163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37</xdr:row>
      <xdr:rowOff>180975</xdr:rowOff>
    </xdr:from>
    <xdr:to>
      <xdr:col>5</xdr:col>
      <xdr:colOff>514350</xdr:colOff>
      <xdr:row>52</xdr:row>
      <xdr:rowOff>66675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BA21213-96E7-96BB-101A-0B7FE83771BA}"/>
            </a:ext>
            <a:ext uri="{147F2762-F138-4A5C-976F-8EAC2B608ADB}">
              <a16:predDERef xmlns:a16="http://schemas.microsoft.com/office/drawing/2014/main" pred="{F0EBABB4-B076-5F95-F389-98ABAA156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2</xdr:col>
      <xdr:colOff>447675</xdr:colOff>
      <xdr:row>52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1D4A803-E89B-C2BC-8851-0CF7B1FF36E8}"/>
            </a:ext>
            <a:ext uri="{147F2762-F138-4A5C-976F-8EAC2B608ADB}">
              <a16:predDERef xmlns:a16="http://schemas.microsoft.com/office/drawing/2014/main" pred="{4BA21213-96E7-96BB-101A-0B7FE8377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52</xdr:row>
      <xdr:rowOff>66675</xdr:rowOff>
    </xdr:from>
    <xdr:to>
      <xdr:col>2</xdr:col>
      <xdr:colOff>447675</xdr:colOff>
      <xdr:row>66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23E6442-AA23-88FD-FCF3-23AD4F86BF18}"/>
            </a:ext>
            <a:ext uri="{147F2762-F138-4A5C-976F-8EAC2B608ADB}">
              <a16:predDERef xmlns:a16="http://schemas.microsoft.com/office/drawing/2014/main" pred="{D1D4A803-E89B-C2BC-8851-0CF7B1FF3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457200</xdr:colOff>
      <xdr:row>52</xdr:row>
      <xdr:rowOff>57150</xdr:rowOff>
    </xdr:from>
    <xdr:to>
      <xdr:col>5</xdr:col>
      <xdr:colOff>533400</xdr:colOff>
      <xdr:row>66</xdr:row>
      <xdr:rowOff>133350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0AC08BB-DBA3-9BCB-FAB2-BC3E5E5D116A}"/>
            </a:ext>
            <a:ext uri="{147F2762-F138-4A5C-976F-8EAC2B608ADB}">
              <a16:predDERef xmlns:a16="http://schemas.microsoft.com/office/drawing/2014/main" pred="{423E6442-AA23-88FD-FCF3-23AD4F86B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523875</xdr:colOff>
      <xdr:row>37</xdr:row>
      <xdr:rowOff>161925</xdr:rowOff>
    </xdr:from>
    <xdr:to>
      <xdr:col>9</xdr:col>
      <xdr:colOff>352425</xdr:colOff>
      <xdr:row>52</xdr:row>
      <xdr:rowOff>47625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5B98835-FB7A-9B55-EA92-36099D524BCF}"/>
            </a:ext>
            <a:ext uri="{147F2762-F138-4A5C-976F-8EAC2B608ADB}">
              <a16:predDERef xmlns:a16="http://schemas.microsoft.com/office/drawing/2014/main" pred="{80AC08BB-DBA3-9BCB-FAB2-BC3E5E5D1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523875</xdr:colOff>
      <xdr:row>52</xdr:row>
      <xdr:rowOff>28575</xdr:rowOff>
    </xdr:from>
    <xdr:to>
      <xdr:col>9</xdr:col>
      <xdr:colOff>352425</xdr:colOff>
      <xdr:row>66</xdr:row>
      <xdr:rowOff>104775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18A9172-F2B0-4FFC-850E-8BDBC0CF2FB3}"/>
            </a:ext>
            <a:ext uri="{147F2762-F138-4A5C-976F-8EAC2B608ADB}">
              <a16:predDERef xmlns:a16="http://schemas.microsoft.com/office/drawing/2014/main" pred="{55B98835-FB7A-9B55-EA92-36099D524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342900</xdr:colOff>
      <xdr:row>37</xdr:row>
      <xdr:rowOff>171450</xdr:rowOff>
    </xdr:from>
    <xdr:to>
      <xdr:col>15</xdr:col>
      <xdr:colOff>447675</xdr:colOff>
      <xdr:row>52</xdr:row>
      <xdr:rowOff>57150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F9A7E35-9EAD-4964-BBAC-D29E4FF12C48}"/>
            </a:ext>
            <a:ext uri="{147F2762-F138-4A5C-976F-8EAC2B608ADB}">
              <a16:predDERef xmlns:a16="http://schemas.microsoft.com/office/drawing/2014/main" pred="{A18A9172-F2B0-4FFC-850E-8BDBC0CF2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333375</xdr:colOff>
      <xdr:row>52</xdr:row>
      <xdr:rowOff>38100</xdr:rowOff>
    </xdr:from>
    <xdr:to>
      <xdr:col>15</xdr:col>
      <xdr:colOff>438150</xdr:colOff>
      <xdr:row>66</xdr:row>
      <xdr:rowOff>114300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4340E57-C5F2-AAE0-4226-864BACE92F27}"/>
            </a:ext>
            <a:ext uri="{147F2762-F138-4A5C-976F-8EAC2B608ADB}">
              <a16:predDERef xmlns:a16="http://schemas.microsoft.com/office/drawing/2014/main" pred="{2F9A7E35-9EAD-4964-BBAC-D29E4FF12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03CB-DFB3-4E4B-BB10-9110E20626F6}">
  <dimension ref="A1:K41"/>
  <sheetViews>
    <sheetView workbookViewId="0">
      <selection activeCell="F17" sqref="F17"/>
    </sheetView>
  </sheetViews>
  <sheetFormatPr defaultColWidth="8.7109375" defaultRowHeight="15" customHeight="1"/>
  <cols>
    <col min="1" max="1" width="42.42578125" customWidth="1"/>
    <col min="2" max="2" width="19.42578125" customWidth="1"/>
    <col min="3" max="3" width="21.28515625" customWidth="1"/>
    <col min="4" max="4" width="22.7109375" customWidth="1"/>
    <col min="5" max="5" width="23.42578125" customWidth="1"/>
    <col min="6" max="6" width="13.28515625" customWidth="1"/>
    <col min="7" max="7" width="21.7109375" customWidth="1"/>
    <col min="8" max="8" width="17.7109375" customWidth="1"/>
    <col min="9" max="9" width="18.42578125" customWidth="1"/>
    <col min="10" max="10" width="22.28515625" customWidth="1"/>
    <col min="11" max="11" width="9.85546875" customWidth="1"/>
  </cols>
  <sheetData>
    <row r="1" spans="1:11" ht="15.95">
      <c r="A1" s="57" t="s">
        <v>0</v>
      </c>
      <c r="B1" s="58"/>
      <c r="C1" s="58"/>
      <c r="D1" s="59"/>
      <c r="E1" s="48"/>
      <c r="F1" s="27"/>
      <c r="G1" s="60" t="s">
        <v>1</v>
      </c>
      <c r="H1" s="61"/>
      <c r="I1" s="62"/>
      <c r="J1" s="54"/>
    </row>
    <row r="2" spans="1:11" ht="14.45" customHeight="1">
      <c r="A2" s="6" t="s">
        <v>2</v>
      </c>
      <c r="B2" s="25" t="s">
        <v>3</v>
      </c>
      <c r="C2" s="26"/>
      <c r="D2" s="50"/>
      <c r="E2" s="9"/>
      <c r="F2" s="22"/>
      <c r="G2" s="63" t="s">
        <v>3</v>
      </c>
      <c r="H2" s="64"/>
      <c r="I2" s="64"/>
      <c r="J2" s="55"/>
    </row>
    <row r="3" spans="1:11" ht="15.95">
      <c r="A3" s="9"/>
      <c r="B3" s="24">
        <v>2024</v>
      </c>
      <c r="C3" s="23">
        <v>2023</v>
      </c>
      <c r="D3" s="23">
        <v>2022</v>
      </c>
      <c r="E3" s="24" t="s">
        <v>4</v>
      </c>
      <c r="F3" s="7"/>
      <c r="G3" s="23">
        <v>2024</v>
      </c>
      <c r="H3" s="23">
        <v>2023</v>
      </c>
      <c r="I3" s="53">
        <v>2022</v>
      </c>
      <c r="J3" s="52" t="s">
        <v>4</v>
      </c>
    </row>
    <row r="4" spans="1:11">
      <c r="A4" s="28" t="s">
        <v>5</v>
      </c>
      <c r="B4" s="18"/>
      <c r="C4" s="9"/>
      <c r="D4" s="10"/>
      <c r="E4" s="9"/>
      <c r="G4" s="34"/>
      <c r="H4" s="9"/>
      <c r="I4" s="33"/>
      <c r="J4" s="18"/>
      <c r="K4" s="38"/>
    </row>
    <row r="5" spans="1:11">
      <c r="A5" s="10" t="s">
        <v>6</v>
      </c>
      <c r="B5" s="19">
        <v>59768</v>
      </c>
      <c r="C5" s="19">
        <v>59380</v>
      </c>
      <c r="D5" s="34">
        <v>57786</v>
      </c>
      <c r="E5" s="19">
        <v>54304</v>
      </c>
      <c r="G5" s="34">
        <v>29821</v>
      </c>
      <c r="H5" s="19">
        <v>30362</v>
      </c>
      <c r="I5" s="34">
        <v>28719</v>
      </c>
      <c r="J5" s="19">
        <v>21941</v>
      </c>
      <c r="K5" s="49"/>
    </row>
    <row r="6" spans="1:11">
      <c r="A6" s="10" t="s">
        <v>7</v>
      </c>
      <c r="B6" s="19">
        <v>26744</v>
      </c>
      <c r="C6" s="19">
        <v>27396</v>
      </c>
      <c r="D6" s="34">
        <v>26305</v>
      </c>
      <c r="E6" s="19">
        <v>23097</v>
      </c>
      <c r="G6" s="34">
        <v>19313</v>
      </c>
      <c r="H6" s="19">
        <v>20007</v>
      </c>
      <c r="I6" s="34">
        <v>18618</v>
      </c>
      <c r="J6" s="19">
        <v>13535</v>
      </c>
      <c r="K6" s="49"/>
    </row>
    <row r="7" spans="1:11">
      <c r="A7" s="15" t="s">
        <v>8</v>
      </c>
      <c r="B7" s="19">
        <v>33024</v>
      </c>
      <c r="C7" s="19">
        <v>15796</v>
      </c>
      <c r="D7" s="34">
        <v>31481</v>
      </c>
      <c r="E7" s="19">
        <v>31207</v>
      </c>
      <c r="G7" s="41">
        <v>10508</v>
      </c>
      <c r="H7" s="19">
        <v>10285</v>
      </c>
      <c r="I7" s="34">
        <v>10101</v>
      </c>
      <c r="J7" s="19">
        <v>8406</v>
      </c>
      <c r="K7" s="49"/>
    </row>
    <row r="8" spans="1:11">
      <c r="A8" s="10" t="s">
        <v>9</v>
      </c>
      <c r="B8" s="19">
        <v>17875</v>
      </c>
      <c r="C8" s="19">
        <v>17724</v>
      </c>
      <c r="D8" s="41">
        <v>17016</v>
      </c>
      <c r="E8" s="19">
        <v>17002</v>
      </c>
      <c r="G8" s="19">
        <v>7071</v>
      </c>
      <c r="H8" s="45">
        <v>7449</v>
      </c>
      <c r="I8" s="34">
        <v>5872</v>
      </c>
      <c r="J8" s="19">
        <v>5237</v>
      </c>
      <c r="K8" s="49"/>
    </row>
    <row r="9" spans="1:11">
      <c r="A9" s="10" t="s">
        <v>10</v>
      </c>
      <c r="B9" s="19">
        <v>4360</v>
      </c>
      <c r="C9" s="34">
        <v>4594</v>
      </c>
      <c r="D9" s="34">
        <v>4443</v>
      </c>
      <c r="E9" s="19">
        <v>4340</v>
      </c>
      <c r="G9" s="18">
        <v>680</v>
      </c>
      <c r="H9" s="21">
        <v>640</v>
      </c>
      <c r="I9" s="36">
        <v>487</v>
      </c>
      <c r="J9" s="18">
        <v>489</v>
      </c>
      <c r="K9" s="38"/>
    </row>
    <row r="10" spans="1:11">
      <c r="A10" s="10" t="s">
        <v>11</v>
      </c>
      <c r="B10" s="19">
        <v>2768</v>
      </c>
      <c r="C10" s="34">
        <v>5583</v>
      </c>
      <c r="D10" s="34">
        <v>5969</v>
      </c>
      <c r="E10" s="19">
        <v>4670</v>
      </c>
      <c r="G10" s="19">
        <v>978</v>
      </c>
      <c r="H10" s="46">
        <v>2304</v>
      </c>
      <c r="I10" s="34">
        <v>2682</v>
      </c>
      <c r="J10" s="19">
        <v>3324</v>
      </c>
      <c r="K10" s="49"/>
    </row>
    <row r="11" spans="1:11">
      <c r="A11" s="35" t="s">
        <v>12</v>
      </c>
      <c r="B11" s="43">
        <v>15149</v>
      </c>
      <c r="C11" s="41">
        <v>14260</v>
      </c>
      <c r="D11" s="34">
        <v>14465</v>
      </c>
      <c r="E11" s="19">
        <v>14205</v>
      </c>
      <c r="G11" s="19">
        <v>3437</v>
      </c>
      <c r="H11" s="47">
        <v>2836</v>
      </c>
      <c r="I11" s="34">
        <v>4229</v>
      </c>
      <c r="J11" s="19">
        <v>3169</v>
      </c>
      <c r="K11" s="49"/>
    </row>
    <row r="12" spans="1:11">
      <c r="A12" s="10"/>
      <c r="B12" s="39"/>
      <c r="C12" s="39"/>
      <c r="D12" s="38"/>
      <c r="E12" s="38"/>
      <c r="G12" s="38"/>
      <c r="H12" s="39"/>
      <c r="I12" s="40"/>
      <c r="J12" s="18"/>
      <c r="K12" s="38"/>
    </row>
    <row r="13" spans="1:11">
      <c r="A13" s="28" t="s">
        <v>13</v>
      </c>
      <c r="B13" s="20"/>
      <c r="C13" s="37"/>
      <c r="D13" s="33"/>
      <c r="E13" s="18"/>
      <c r="G13" s="18"/>
      <c r="H13" s="30"/>
      <c r="I13" s="37"/>
      <c r="J13" s="18"/>
      <c r="K13" s="38"/>
    </row>
    <row r="14" spans="1:11">
      <c r="A14" s="10" t="s">
        <v>14</v>
      </c>
      <c r="B14" s="19">
        <v>22999</v>
      </c>
      <c r="C14" s="19">
        <v>23367</v>
      </c>
      <c r="D14" s="42">
        <v>23186</v>
      </c>
      <c r="E14" s="19">
        <v>23949</v>
      </c>
      <c r="G14" s="19">
        <v>10899</v>
      </c>
      <c r="H14" s="45">
        <v>11399</v>
      </c>
      <c r="I14" s="34">
        <v>11015</v>
      </c>
      <c r="J14" s="19">
        <v>9578</v>
      </c>
      <c r="K14" s="49"/>
    </row>
    <row r="15" spans="1:11">
      <c r="A15" s="15" t="s">
        <v>15</v>
      </c>
      <c r="B15" s="19">
        <v>33066</v>
      </c>
      <c r="C15" s="19">
        <v>37156</v>
      </c>
      <c r="D15" s="34">
        <v>34383</v>
      </c>
      <c r="E15" s="19">
        <v>34184</v>
      </c>
      <c r="G15" s="19">
        <v>14238</v>
      </c>
      <c r="H15" s="31">
        <v>14825</v>
      </c>
      <c r="I15" s="34">
        <v>14190</v>
      </c>
      <c r="J15" s="19">
        <v>12094</v>
      </c>
      <c r="K15" s="49"/>
    </row>
    <row r="16" spans="1:11">
      <c r="A16" s="10" t="s">
        <v>16</v>
      </c>
      <c r="B16" s="19">
        <v>183637</v>
      </c>
      <c r="C16" s="19">
        <v>195973</v>
      </c>
      <c r="D16" s="34">
        <v>189757</v>
      </c>
      <c r="E16" s="19">
        <v>19678</v>
      </c>
      <c r="G16" s="19">
        <v>42874</v>
      </c>
      <c r="H16" s="45">
        <v>43754</v>
      </c>
      <c r="I16" s="34">
        <v>41391</v>
      </c>
      <c r="J16" s="19">
        <v>39272</v>
      </c>
      <c r="K16" s="49"/>
    </row>
    <row r="17" spans="1:11" ht="15.95">
      <c r="A17" s="17" t="s">
        <v>17</v>
      </c>
      <c r="B17" s="19">
        <v>84871</v>
      </c>
      <c r="C17" s="19">
        <v>89508</v>
      </c>
      <c r="D17" s="34">
        <v>94282</v>
      </c>
      <c r="E17" s="19">
        <v>104103</v>
      </c>
      <c r="G17" s="19">
        <v>17133</v>
      </c>
      <c r="H17" s="45">
        <v>17539</v>
      </c>
      <c r="I17" s="34">
        <v>16296</v>
      </c>
      <c r="J17" s="19">
        <v>17056</v>
      </c>
      <c r="K17" s="1"/>
    </row>
    <row r="18" spans="1:11">
      <c r="A18" s="10" t="s">
        <v>18</v>
      </c>
      <c r="B18" s="19">
        <v>4940</v>
      </c>
      <c r="C18" s="19">
        <v>5463</v>
      </c>
      <c r="D18" s="34">
        <v>6612</v>
      </c>
      <c r="E18" s="19">
        <v>5399</v>
      </c>
      <c r="G18" s="19">
        <v>3572</v>
      </c>
      <c r="H18" s="45">
        <v>3721</v>
      </c>
      <c r="I18" s="34">
        <v>3250</v>
      </c>
      <c r="J18" s="19">
        <v>2438</v>
      </c>
      <c r="K18" s="49"/>
    </row>
    <row r="19" spans="1:11">
      <c r="A19" s="10" t="s">
        <v>19</v>
      </c>
      <c r="B19" s="19">
        <v>11174</v>
      </c>
      <c r="C19" s="19">
        <v>6022</v>
      </c>
      <c r="D19" s="34">
        <v>5215</v>
      </c>
      <c r="E19" s="19">
        <v>4427</v>
      </c>
      <c r="G19" s="42">
        <v>2350</v>
      </c>
      <c r="H19" s="19">
        <v>2377</v>
      </c>
      <c r="I19" s="34">
        <v>2765</v>
      </c>
      <c r="J19" s="19">
        <v>3248</v>
      </c>
      <c r="K19" s="49"/>
    </row>
    <row r="20" spans="1:11">
      <c r="A20" s="10" t="s">
        <v>20</v>
      </c>
      <c r="B20" s="19">
        <v>24204</v>
      </c>
      <c r="C20" s="43">
        <v>25716</v>
      </c>
      <c r="D20" s="41">
        <v>26045</v>
      </c>
      <c r="E20" s="19">
        <v>25075</v>
      </c>
      <c r="G20" s="41">
        <v>9912</v>
      </c>
      <c r="H20" s="43">
        <v>9432</v>
      </c>
      <c r="I20" s="41">
        <v>9283</v>
      </c>
      <c r="J20" s="19">
        <v>7750</v>
      </c>
      <c r="K20" s="49"/>
    </row>
    <row r="21" spans="1:11">
      <c r="A21" t="s">
        <v>21</v>
      </c>
      <c r="B21" s="19">
        <v>5505</v>
      </c>
      <c r="C21" s="43">
        <v>6372</v>
      </c>
      <c r="D21" s="41">
        <v>5734</v>
      </c>
      <c r="E21" s="19">
        <v>5077</v>
      </c>
      <c r="G21" s="19">
        <v>4588</v>
      </c>
      <c r="H21" s="19">
        <v>5019</v>
      </c>
      <c r="I21" s="34">
        <v>4531</v>
      </c>
      <c r="J21" s="19">
        <v>3662</v>
      </c>
    </row>
    <row r="22" spans="1:11">
      <c r="A22" s="10" t="s">
        <v>22</v>
      </c>
      <c r="B22" s="34">
        <v>78237</v>
      </c>
      <c r="C22" s="19">
        <v>81848</v>
      </c>
      <c r="D22" s="46">
        <v>73398</v>
      </c>
      <c r="E22" s="44">
        <v>68669</v>
      </c>
      <c r="F22" s="9"/>
      <c r="G22" s="44">
        <v>19581</v>
      </c>
      <c r="H22" s="44">
        <v>20056</v>
      </c>
      <c r="I22" s="42">
        <v>19551</v>
      </c>
      <c r="J22" s="19">
        <v>17356</v>
      </c>
      <c r="K22" s="51"/>
    </row>
    <row r="23" spans="1:11">
      <c r="A23" s="8"/>
    </row>
    <row r="24" spans="1:11">
      <c r="A24" t="s">
        <v>23</v>
      </c>
      <c r="B24" s="32"/>
      <c r="C24" s="32"/>
    </row>
    <row r="25" spans="1:11">
      <c r="A25" s="29" t="s">
        <v>24</v>
      </c>
      <c r="B25" s="32">
        <f>B10/(AVERAGE(B22:C22))</f>
        <v>3.4581628509854141E-2</v>
      </c>
      <c r="C25" s="32">
        <f>C10/(AVERAGE(C22:D22))</f>
        <v>7.1924558442729603E-2</v>
      </c>
      <c r="D25" s="32">
        <f>D10/(AVERAGE(D22:E22))</f>
        <v>8.4030774212167494E-2</v>
      </c>
      <c r="E25" s="32"/>
      <c r="F25" s="32"/>
      <c r="G25" s="32">
        <f>G10/(AVERAGE(G22:H22))</f>
        <v>4.9347831571511465E-2</v>
      </c>
      <c r="H25" s="32">
        <f>H10/(AVERAGE(H22:I22))</f>
        <v>0.11634307066932613</v>
      </c>
      <c r="I25" s="32">
        <f>I10/(AVERAGE(I22:J22))</f>
        <v>0.1453382827105969</v>
      </c>
      <c r="J25" s="32"/>
    </row>
    <row r="26" spans="1:11">
      <c r="A26" s="29" t="s">
        <v>25</v>
      </c>
      <c r="B26" s="32">
        <f>B11/B5</f>
        <v>0.25346339178155536</v>
      </c>
      <c r="C26" s="32">
        <f>C11/C5</f>
        <v>0.2401481980464803</v>
      </c>
      <c r="D26" s="32">
        <f>D11/D5</f>
        <v>0.25032014674834735</v>
      </c>
      <c r="E26" s="32"/>
      <c r="F26" s="32"/>
      <c r="G26" s="32">
        <f>G11/G5</f>
        <v>0.11525435096073237</v>
      </c>
      <c r="H26" s="32">
        <f>H11/H5</f>
        <v>9.3406231473552467E-2</v>
      </c>
      <c r="I26" s="32">
        <f>I11/I5</f>
        <v>0.14725443086458442</v>
      </c>
      <c r="J26" s="32"/>
    </row>
    <row r="27" spans="1:11">
      <c r="A27" t="s">
        <v>26</v>
      </c>
    </row>
    <row r="28" spans="1:11">
      <c r="A28" s="29" t="s">
        <v>27</v>
      </c>
      <c r="B28" s="32">
        <f>B14/B15</f>
        <v>0.69554829734470458</v>
      </c>
      <c r="C28" s="32">
        <f>C14/C15</f>
        <v>0.62888900850468299</v>
      </c>
      <c r="D28" s="32">
        <f>D14/D15</f>
        <v>0.67434487973707935</v>
      </c>
      <c r="E28" s="32"/>
      <c r="F28" s="32"/>
      <c r="G28" s="32">
        <f t="shared" ref="G28" si="0">G14/G15</f>
        <v>0.76548672566371678</v>
      </c>
      <c r="H28" s="32">
        <f>H14/H15</f>
        <v>0.76890387858347387</v>
      </c>
      <c r="I28" s="32">
        <f>I14/I15</f>
        <v>0.77625088090204364</v>
      </c>
      <c r="J28" s="32"/>
    </row>
    <row r="29" spans="1:11">
      <c r="A29" s="29" t="s">
        <v>28</v>
      </c>
      <c r="B29" s="32">
        <f>(B14-B18)/B15</f>
        <v>0.54615012399443541</v>
      </c>
      <c r="C29" s="32">
        <f>(C14-C18)/C15</f>
        <v>0.48186026482936806</v>
      </c>
      <c r="D29" s="32">
        <f>(D14-D18)/D15</f>
        <v>0.48204054329174301</v>
      </c>
      <c r="E29" s="32"/>
      <c r="F29" s="32"/>
      <c r="G29" s="32">
        <f>(G14-G18)/G15</f>
        <v>0.51460879336985532</v>
      </c>
      <c r="H29" s="32">
        <f>(H14-H18)/H15</f>
        <v>0.51790893760539625</v>
      </c>
      <c r="I29" s="32">
        <f>(I14-I18)/I15</f>
        <v>0.54721634954193099</v>
      </c>
      <c r="J29" s="32"/>
    </row>
    <row r="30" spans="1:11">
      <c r="A30" t="s">
        <v>29</v>
      </c>
    </row>
    <row r="31" spans="1:11">
      <c r="A31" s="29" t="s">
        <v>30</v>
      </c>
      <c r="B31" s="56">
        <f>(AVERAGE(B18:C18))/B6*365</f>
        <v>70.989661232425959</v>
      </c>
      <c r="C31" s="56">
        <f t="shared" ref="C31:I31" si="1">(AVERAGE(C18:D18))/C6*365</f>
        <v>80.438293911519935</v>
      </c>
      <c r="D31" s="56">
        <f t="shared" si="1"/>
        <v>83.33045048469873</v>
      </c>
      <c r="E31" s="56"/>
      <c r="F31" s="56"/>
      <c r="G31" s="56">
        <f t="shared" si="1"/>
        <v>68.915885672862842</v>
      </c>
      <c r="H31" s="56">
        <f t="shared" si="1"/>
        <v>63.588119158294603</v>
      </c>
      <c r="I31" s="56">
        <f t="shared" si="1"/>
        <v>55.755720270705766</v>
      </c>
      <c r="J31" s="56"/>
    </row>
    <row r="32" spans="1:11">
      <c r="A32" s="29" t="s">
        <v>31</v>
      </c>
      <c r="B32" s="56">
        <f>(AVERAGE(B21:C21))/B5*365</f>
        <v>36.266103935216165</v>
      </c>
      <c r="C32" s="56">
        <f>(AVERAGE(C21:D21))/C5*365</f>
        <v>37.206887841023914</v>
      </c>
      <c r="D32" s="56">
        <f t="shared" ref="D32:I32" si="2">(AVERAGE(D21:E21))/D5*365</f>
        <v>34.143347869726234</v>
      </c>
      <c r="E32" s="56"/>
      <c r="F32" s="56"/>
      <c r="G32" s="56">
        <f t="shared" si="2"/>
        <v>58.793383857013509</v>
      </c>
      <c r="H32" s="56">
        <f t="shared" si="2"/>
        <v>57.403168434226991</v>
      </c>
      <c r="I32" s="56">
        <f t="shared" si="2"/>
        <v>52.063877572338868</v>
      </c>
    </row>
    <row r="33" spans="1:10">
      <c r="A33" s="29" t="s">
        <v>32</v>
      </c>
      <c r="B33" s="56">
        <f>(AVERAGE(B20:C20))/B6*365</f>
        <v>340.65210888423576</v>
      </c>
      <c r="C33" s="56">
        <f>(AVERAGE(C20:D20))/C6*365</f>
        <v>344.80882245583297</v>
      </c>
      <c r="D33" s="56">
        <f t="shared" ref="D33:I33" si="3">(AVERAGE(D20:E20))/D6*365</f>
        <v>354.66261167078505</v>
      </c>
      <c r="E33" s="56"/>
      <c r="F33" s="56"/>
      <c r="G33" s="56">
        <f t="shared" si="3"/>
        <v>182.792937399679</v>
      </c>
      <c r="H33" s="56">
        <f t="shared" si="3"/>
        <v>170.71462488129154</v>
      </c>
      <c r="I33" s="56">
        <f t="shared" si="3"/>
        <v>166.96328821570523</v>
      </c>
      <c r="J33" s="56"/>
    </row>
    <row r="34" spans="1:10">
      <c r="A34" s="29" t="s">
        <v>33</v>
      </c>
      <c r="B34" s="56">
        <f>B31+B32-B33</f>
        <v>-233.39634371659363</v>
      </c>
      <c r="C34" s="56">
        <f t="shared" ref="C34:I34" si="4">C31+C32-C33</f>
        <v>-227.1636407032891</v>
      </c>
      <c r="D34" s="56">
        <f t="shared" si="4"/>
        <v>-237.1888133163601</v>
      </c>
      <c r="E34" s="56"/>
      <c r="F34" s="56"/>
      <c r="G34" s="56">
        <f t="shared" si="4"/>
        <v>-55.083667869802653</v>
      </c>
      <c r="H34" s="56">
        <f t="shared" si="4"/>
        <v>-49.723337288769955</v>
      </c>
      <c r="I34" s="56">
        <f t="shared" si="4"/>
        <v>-59.1436903726606</v>
      </c>
    </row>
    <row r="35" spans="1:10">
      <c r="A35" s="38" t="s">
        <v>34</v>
      </c>
      <c r="B35" s="56"/>
      <c r="C35" s="56"/>
      <c r="D35" s="56"/>
      <c r="E35" s="56"/>
      <c r="F35" s="56"/>
      <c r="G35" s="56"/>
      <c r="H35" s="56"/>
      <c r="I35" s="56"/>
    </row>
    <row r="36" spans="1:10">
      <c r="A36" s="29" t="s">
        <v>35</v>
      </c>
      <c r="B36" s="32">
        <f>(B15+B17)/(B14+B16)*100%</f>
        <v>0.5707475948043903</v>
      </c>
      <c r="C36" s="32">
        <f>(C15+C17)/(C14+C16)*100%</f>
        <v>0.57747788821008483</v>
      </c>
      <c r="D36" s="32">
        <f>(D15+D17)/(D14+D16)*100%</f>
        <v>0.60422272626947116</v>
      </c>
      <c r="E36" s="32"/>
      <c r="F36" s="32"/>
      <c r="G36" s="32">
        <f>(G15+G17)/(G14+G16)*100%</f>
        <v>0.58339687203615198</v>
      </c>
      <c r="H36" s="32">
        <f>(H15+H17)/(H14+H16)*100%</f>
        <v>0.58680398165104342</v>
      </c>
      <c r="I36" s="32">
        <f>(I15+I17)/(I14+I16)*100%</f>
        <v>0.5817272831355188</v>
      </c>
      <c r="J36" s="32"/>
    </row>
    <row r="37" spans="1:10">
      <c r="A37" s="29"/>
    </row>
    <row r="38" spans="1:10">
      <c r="A38" s="29"/>
    </row>
    <row r="39" spans="1:10">
      <c r="A39" s="29"/>
    </row>
    <row r="40" spans="1:10" ht="15" customHeight="1">
      <c r="A40" s="29"/>
    </row>
    <row r="41" spans="1:10" ht="15" customHeight="1">
      <c r="A41" s="29"/>
    </row>
  </sheetData>
  <mergeCells count="3">
    <mergeCell ref="A1:D1"/>
    <mergeCell ref="G1:I1"/>
    <mergeCell ref="G2:I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B19" sqref="B19"/>
    </sheetView>
  </sheetViews>
  <sheetFormatPr defaultColWidth="8.7109375" defaultRowHeight="15"/>
  <cols>
    <col min="1" max="1" width="17.140625" customWidth="1"/>
    <col min="2" max="3" width="17.28515625" customWidth="1"/>
    <col min="4" max="4" width="11.42578125" customWidth="1"/>
  </cols>
  <sheetData>
    <row r="1" spans="1:4" ht="15.95">
      <c r="A1" s="1" t="s">
        <v>36</v>
      </c>
      <c r="B1" s="1"/>
      <c r="C1" s="1"/>
    </row>
    <row r="2" spans="1:4" ht="15.95">
      <c r="A2" s="2" t="s">
        <v>37</v>
      </c>
      <c r="B2" s="1"/>
      <c r="C2" s="1"/>
    </row>
    <row r="4" spans="1:4">
      <c r="A4" s="3" t="s">
        <v>38</v>
      </c>
      <c r="B4" s="3"/>
    </row>
    <row r="6" spans="1:4">
      <c r="A6" t="s">
        <v>39</v>
      </c>
      <c r="B6" s="12" t="s">
        <v>40</v>
      </c>
      <c r="C6" s="11"/>
    </row>
    <row r="7" spans="1:4">
      <c r="A7" t="s">
        <v>41</v>
      </c>
      <c r="B7" s="13" t="s">
        <v>42</v>
      </c>
    </row>
    <row r="8" spans="1:4">
      <c r="A8" t="s">
        <v>43</v>
      </c>
      <c r="B8" s="4" t="s">
        <v>44</v>
      </c>
    </row>
    <row r="10" spans="1:4">
      <c r="A10" t="s">
        <v>45</v>
      </c>
    </row>
    <row r="11" spans="1:4">
      <c r="A11" s="5" t="s">
        <v>46</v>
      </c>
      <c r="B11" s="5" t="s">
        <v>47</v>
      </c>
      <c r="C11" s="5" t="s">
        <v>48</v>
      </c>
      <c r="D11" s="5" t="s">
        <v>49</v>
      </c>
    </row>
    <row r="12" spans="1:4">
      <c r="A12" s="4">
        <v>1089965</v>
      </c>
      <c r="B12" s="4" t="s">
        <v>50</v>
      </c>
      <c r="C12" s="4" t="s">
        <v>51</v>
      </c>
      <c r="D12" s="4">
        <v>2</v>
      </c>
    </row>
    <row r="13" spans="1:4" ht="15.95">
      <c r="A13" s="14">
        <v>1097532</v>
      </c>
      <c r="B13" s="4" t="s">
        <v>52</v>
      </c>
      <c r="C13" s="4" t="s">
        <v>53</v>
      </c>
      <c r="D13" s="4">
        <v>2</v>
      </c>
    </row>
    <row r="14" spans="1:4">
      <c r="A14" s="4">
        <v>1106255</v>
      </c>
      <c r="B14" s="4" t="s">
        <v>54</v>
      </c>
      <c r="C14" s="4" t="s">
        <v>55</v>
      </c>
      <c r="D14" s="4">
        <v>2</v>
      </c>
    </row>
    <row r="15" spans="1:4">
      <c r="A15" s="4">
        <v>1095877</v>
      </c>
      <c r="B15" s="4" t="s">
        <v>56</v>
      </c>
      <c r="C15" s="4" t="s">
        <v>57</v>
      </c>
      <c r="D15" s="4">
        <v>2</v>
      </c>
    </row>
    <row r="16" spans="1:4">
      <c r="A16" s="4">
        <v>1089213</v>
      </c>
      <c r="B16" s="4" t="s">
        <v>58</v>
      </c>
      <c r="C16" s="4" t="s">
        <v>59</v>
      </c>
      <c r="D16" s="4">
        <v>2</v>
      </c>
    </row>
    <row r="17" spans="1:4">
      <c r="A17" s="4"/>
      <c r="B17" s="4"/>
      <c r="C17" s="4"/>
      <c r="D17" s="4"/>
    </row>
    <row r="19" spans="1:4">
      <c r="A19" t="s">
        <v>60</v>
      </c>
      <c r="B1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Bonvenja  Mogunde</dc:creator>
  <cp:keywords/>
  <dc:description/>
  <cp:lastModifiedBy/>
  <cp:revision/>
  <dcterms:created xsi:type="dcterms:W3CDTF">2015-06-05T18:17:20Z</dcterms:created>
  <dcterms:modified xsi:type="dcterms:W3CDTF">2025-12-01T15:20:47Z</dcterms:modified>
  <cp:category/>
  <cp:contentStatus/>
</cp:coreProperties>
</file>